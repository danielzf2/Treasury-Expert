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 &amp; Fluxos" sheetId="1" state="visible" r:id="rId1"/>
    <sheet name="Hedge" sheetId="2" state="visible" r:id="rId2"/>
    <sheet name="Cenários 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4C8BF5"/>
      <sz val="14"/>
    </font>
    <font>
      <name val="Calibri"/>
      <b val="1"/>
      <color rgb="004C8BF5"/>
      <sz val="11"/>
    </font>
    <font>
      <name val="Calibri"/>
      <color rgb="005A6A80"/>
      <sz val="10"/>
    </font>
    <font>
      <name val="Consolas"/>
      <b val="1"/>
      <color rgb="00F5A623"/>
      <sz val="12"/>
    </font>
    <font>
      <name val="Consolas"/>
      <b val="1"/>
      <color rgb="00E6EDF3"/>
      <sz val="11"/>
    </font>
    <font>
      <name val="Calibri"/>
      <b val="1"/>
      <color rgb="008BA0BE"/>
      <sz val="10"/>
    </font>
    <font>
      <name val="Calibri"/>
      <color rgb="00E6EDF3"/>
      <sz val="11"/>
    </font>
    <font>
      <name val="Consolas"/>
      <color rgb="00C4D0DC"/>
      <sz val="11"/>
    </font>
    <font>
      <name val="Consolas"/>
      <b val="1"/>
      <color rgb="00F5A623"/>
      <sz val="11"/>
    </font>
    <font>
      <name val="Calibri"/>
      <b val="1"/>
      <color rgb="00E6EDF3"/>
      <sz val="11"/>
    </font>
    <font>
      <name val="Consolas"/>
      <b val="1"/>
      <color rgb="0034D399"/>
      <sz val="11"/>
    </font>
    <font>
      <name val="Consolas"/>
      <b val="1"/>
      <color rgb="00FF6B6B"/>
      <sz val="11"/>
    </font>
  </fonts>
  <fills count="5">
    <fill>
      <patternFill/>
    </fill>
    <fill>
      <patternFill patternType="gray125"/>
    </fill>
    <fill>
      <patternFill patternType="solid">
        <fgColor rgb="000A0F1C"/>
      </patternFill>
    </fill>
    <fill>
      <patternFill patternType="solid">
        <fgColor rgb="00162040"/>
      </patternFill>
    </fill>
    <fill>
      <patternFill patternType="solid">
        <fgColor rgb="000D1830"/>
      </patternFill>
    </fill>
  </fills>
  <borders count="2">
    <border>
      <left/>
      <right/>
      <top/>
      <bottom/>
      <diagonal/>
    </border>
    <border>
      <bottom style="thin">
        <color rgb="001A254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164" fontId="4" fillId="3" borderId="0" pivotButton="0" quotePrefix="0" xfId="0"/>
    <xf numFmtId="3" fontId="4" fillId="3" borderId="0" pivotButton="0" quotePrefix="0" xfId="0"/>
    <xf numFmtId="165" fontId="5" fillId="2" borderId="0" pivotButton="0" quotePrefix="0" xfId="0"/>
    <xf numFmtId="4" fontId="5" fillId="2" borderId="0" pivotButton="0" quotePrefix="0" xfId="0"/>
    <xf numFmtId="4" fontId="9" fillId="2" borderId="0" pivotButton="0" quotePrefix="0" xfId="0"/>
    <xf numFmtId="164" fontId="5" fillId="2" borderId="0" pivotButton="0" quotePrefix="0" xfId="0"/>
    <xf numFmtId="0" fontId="6" fillId="4" borderId="1" applyAlignment="1" pivotButton="0" quotePrefix="0" xfId="0">
      <alignment horizontal="center"/>
    </xf>
    <xf numFmtId="0" fontId="7" fillId="2" borderId="1" pivotButton="0" quotePrefix="0" xfId="0"/>
    <xf numFmtId="0" fontId="8" fillId="3" borderId="1" applyAlignment="1" pivotButton="0" quotePrefix="0" xfId="0">
      <alignment horizontal="center"/>
    </xf>
    <xf numFmtId="4" fontId="8" fillId="2" borderId="1" pivotButton="0" quotePrefix="0" xfId="0"/>
    <xf numFmtId="2" fontId="8" fillId="2" borderId="1" pivotButton="0" quotePrefix="0" xfId="0"/>
    <xf numFmtId="164" fontId="8" fillId="2" borderId="1" pivotButton="0" quotePrefix="0" xfId="0"/>
    <xf numFmtId="4" fontId="9" fillId="2" borderId="1" pivotButton="0" quotePrefix="0" xfId="0"/>
    <xf numFmtId="0" fontId="10" fillId="2" borderId="0" pivotButton="0" quotePrefix="0" xfId="0"/>
    <xf numFmtId="0" fontId="5" fillId="2" borderId="0" pivotButton="0" quotePrefix="0" xfId="0"/>
    <xf numFmtId="0" fontId="4" fillId="3" borderId="0" pivotButton="0" quotePrefix="0" xfId="0"/>
    <xf numFmtId="2" fontId="5" fillId="2" borderId="0" pivotButton="0" quotePrefix="0" xfId="0"/>
    <xf numFmtId="0" fontId="10" fillId="2" borderId="1" pivotButton="0" quotePrefix="0" xfId="0"/>
    <xf numFmtId="0" fontId="8" fillId="2" borderId="1" pivotButton="0" quotePrefix="0" xfId="0"/>
    <xf numFmtId="0" fontId="5" fillId="2" borderId="1" applyAlignment="1" pivotButton="0" quotePrefix="0" xfId="0">
      <alignment horizontal="center"/>
    </xf>
    <xf numFmtId="4" fontId="11" fillId="2" borderId="1" pivotButton="0" quotePrefix="0" xfId="0"/>
    <xf numFmtId="0" fontId="3" fillId="2" borderId="1" pivotButton="0" quotePrefix="0" xfId="0"/>
    <xf numFmtId="0" fontId="0" fillId="2" borderId="1" pivotButton="0" quotePrefix="0" xfId="0"/>
    <xf numFmtId="0" fontId="8" fillId="2" borderId="1" applyAlignment="1" pivotButton="0" quotePrefix="0" xfId="0">
      <alignment horizontal="center"/>
    </xf>
    <xf numFmtId="3" fontId="8" fillId="2" borderId="1" pivotButton="0" quotePrefix="0" xfId="0"/>
    <xf numFmtId="3" fontId="5" fillId="2" borderId="1" pivotButton="0" quotePrefix="0" xfId="0"/>
    <xf numFmtId="0" fontId="11" fillId="2" borderId="1" pivotButton="0" quotePrefix="0" xfId="0"/>
    <xf numFmtId="3" fontId="9" fillId="2" borderId="1" pivotButton="0" quotePrefix="0" xfId="0"/>
    <xf numFmtId="0" fontId="1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8BF5"/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NTN-F F31 — Fluxos de Caixa, KRD e DV01</t>
        </is>
      </c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INPUTS (edite aqui)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4" t="inlineStr">
        <is>
          <t>TIR (% a.a.)</t>
        </is>
      </c>
      <c r="B4" s="5" t="n">
        <v>13.8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4" t="inlineStr">
        <is>
          <t>Quantidade</t>
        </is>
      </c>
      <c r="B5" s="6" t="n">
        <v>2000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4" t="inlineStr">
        <is>
          <t>Cupom a.a. (%)</t>
        </is>
      </c>
      <c r="B6" s="5" t="n">
        <v>10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4" t="inlineStr">
        <is>
          <t>Cup Semestral (%)</t>
        </is>
      </c>
      <c r="B7" s="7">
        <f>((1+B6/100)^0.5-1)*100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4" t="inlineStr">
        <is>
          <t>PU (R$/un)</t>
        </is>
      </c>
      <c r="B8" s="8">
        <f>D23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4" t="inlineStr">
        <is>
          <t>DV01 Total (R$)</t>
        </is>
      </c>
      <c r="B9" s="9">
        <f>I23</f>
        <v/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4" t="inlineStr">
        <is>
          <t>D.Mac (anos)</t>
        </is>
      </c>
      <c r="B10" s="10">
        <f>F23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1" t="inlineStr">
        <is>
          <t>Fluxo</t>
        </is>
      </c>
      <c r="B12" s="11" t="inlineStr">
        <is>
          <t>DU</t>
        </is>
      </c>
      <c r="C12" s="11" t="inlineStr">
        <is>
          <t>FC (R$/un)</t>
        </is>
      </c>
      <c r="D12" s="11" t="inlineStr">
        <is>
          <t>PV (R$/un)</t>
        </is>
      </c>
      <c r="E12" s="11" t="inlineStr">
        <is>
          <t>Peso (%)</t>
        </is>
      </c>
      <c r="F12" s="11" t="inlineStr">
        <is>
          <t>KRD (anos)</t>
        </is>
      </c>
      <c r="G12" s="11" t="inlineStr">
        <is>
          <t>D.Mod Fluxo</t>
        </is>
      </c>
      <c r="H12" s="11" t="inlineStr">
        <is>
          <t>DV01/un (R$)</t>
        </is>
      </c>
      <c r="I12" s="11" t="inlineStr">
        <is>
          <t>DV01 Total (R$)</t>
        </is>
      </c>
      <c r="J12" s="2" t="n"/>
      <c r="K12" s="2" t="n"/>
      <c r="L12" s="2" t="n"/>
      <c r="M12" s="2" t="n"/>
      <c r="N12" s="2" t="n"/>
      <c r="O12" s="2" t="n"/>
    </row>
    <row r="13">
      <c r="A13" s="12" t="inlineStr">
        <is>
          <t>Cupom 1</t>
        </is>
      </c>
      <c r="B13" s="13" t="n">
        <v>39</v>
      </c>
      <c r="C13" s="14">
        <f>B$7/100*1000</f>
        <v/>
      </c>
      <c r="D13" s="14">
        <f>C13/(1+B$4/100)^(B13/252)</f>
        <v/>
      </c>
      <c r="E13" s="15">
        <f>D13/SUM(D$13:D$22)*100</f>
        <v/>
      </c>
      <c r="F13" s="16">
        <f>(B13/252)*(E13/100)</f>
        <v/>
      </c>
      <c r="G13" s="16">
        <f>F13/(1+B$4/100)</f>
        <v/>
      </c>
      <c r="H13" s="16">
        <f>G13*D13*0.0001</f>
        <v/>
      </c>
      <c r="I13" s="17">
        <f>H13*B$5</f>
        <v/>
      </c>
      <c r="J13" s="2" t="n"/>
      <c r="K13" s="2" t="n"/>
      <c r="L13" s="2" t="n"/>
      <c r="M13" s="2" t="n"/>
      <c r="N13" s="2" t="n"/>
      <c r="O13" s="2" t="n"/>
    </row>
    <row r="14">
      <c r="A14" s="12" t="inlineStr">
        <is>
          <t>Cupom 2</t>
        </is>
      </c>
      <c r="B14" s="13" t="n">
        <v>166</v>
      </c>
      <c r="C14" s="14">
        <f>B$7/100*1000</f>
        <v/>
      </c>
      <c r="D14" s="14">
        <f>C14/(1+B$4/100)^(B14/252)</f>
        <v/>
      </c>
      <c r="E14" s="15">
        <f>D14/SUM(D$13:D$22)*100</f>
        <v/>
      </c>
      <c r="F14" s="16">
        <f>(B14/252)*(E14/100)</f>
        <v/>
      </c>
      <c r="G14" s="16">
        <f>F14/(1+B$4/100)</f>
        <v/>
      </c>
      <c r="H14" s="16">
        <f>G14*D14*0.0001</f>
        <v/>
      </c>
      <c r="I14" s="17">
        <f>H14*B$5</f>
        <v/>
      </c>
      <c r="J14" s="2" t="n"/>
      <c r="K14" s="2" t="n"/>
      <c r="L14" s="2" t="n"/>
      <c r="M14" s="2" t="n"/>
      <c r="N14" s="2" t="n"/>
      <c r="O14" s="2" t="n"/>
    </row>
    <row r="15">
      <c r="A15" s="12" t="inlineStr">
        <is>
          <t>Cupom 3</t>
        </is>
      </c>
      <c r="B15" s="13" t="n">
        <v>291</v>
      </c>
      <c r="C15" s="14">
        <f>B$7/100*1000</f>
        <v/>
      </c>
      <c r="D15" s="14">
        <f>C15/(1+B$4/100)^(B15/252)</f>
        <v/>
      </c>
      <c r="E15" s="15">
        <f>D15/SUM(D$13:D$22)*100</f>
        <v/>
      </c>
      <c r="F15" s="16">
        <f>(B15/252)*(E15/100)</f>
        <v/>
      </c>
      <c r="G15" s="16">
        <f>F15/(1+B$4/100)</f>
        <v/>
      </c>
      <c r="H15" s="16">
        <f>G15*D15*0.0001</f>
        <v/>
      </c>
      <c r="I15" s="17">
        <f>H15*B$5</f>
        <v/>
      </c>
      <c r="J15" s="2" t="n"/>
      <c r="K15" s="2" t="n"/>
      <c r="L15" s="2" t="n"/>
      <c r="M15" s="2" t="n"/>
      <c r="N15" s="2" t="n"/>
      <c r="O15" s="2" t="n"/>
    </row>
    <row r="16">
      <c r="A16" s="12" t="inlineStr">
        <is>
          <t>Cupom 4</t>
        </is>
      </c>
      <c r="B16" s="13" t="n">
        <v>418</v>
      </c>
      <c r="C16" s="14">
        <f>B$7/100*1000</f>
        <v/>
      </c>
      <c r="D16" s="14">
        <f>C16/(1+B$4/100)^(B16/252)</f>
        <v/>
      </c>
      <c r="E16" s="15">
        <f>D16/SUM(D$13:D$22)*100</f>
        <v/>
      </c>
      <c r="F16" s="16">
        <f>(B16/252)*(E16/100)</f>
        <v/>
      </c>
      <c r="G16" s="16">
        <f>F16/(1+B$4/100)</f>
        <v/>
      </c>
      <c r="H16" s="16">
        <f>G16*D16*0.0001</f>
        <v/>
      </c>
      <c r="I16" s="17">
        <f>H16*B$5</f>
        <v/>
      </c>
      <c r="J16" s="2" t="n"/>
      <c r="K16" s="2" t="n"/>
      <c r="L16" s="2" t="n"/>
      <c r="M16" s="2" t="n"/>
      <c r="N16" s="2" t="n"/>
      <c r="O16" s="2" t="n"/>
    </row>
    <row r="17">
      <c r="A17" s="12" t="inlineStr">
        <is>
          <t>Cupom 5</t>
        </is>
      </c>
      <c r="B17" s="13" t="n">
        <v>543</v>
      </c>
      <c r="C17" s="14">
        <f>B$7/100*1000</f>
        <v/>
      </c>
      <c r="D17" s="14">
        <f>C17/(1+B$4/100)^(B17/252)</f>
        <v/>
      </c>
      <c r="E17" s="15">
        <f>D17/SUM(D$13:D$22)*100</f>
        <v/>
      </c>
      <c r="F17" s="16">
        <f>(B17/252)*(E17/100)</f>
        <v/>
      </c>
      <c r="G17" s="16">
        <f>F17/(1+B$4/100)</f>
        <v/>
      </c>
      <c r="H17" s="16">
        <f>G17*D17*0.0001</f>
        <v/>
      </c>
      <c r="I17" s="17">
        <f>H17*B$5</f>
        <v/>
      </c>
      <c r="J17" s="2" t="n"/>
      <c r="K17" s="2" t="n"/>
      <c r="L17" s="2" t="n"/>
      <c r="M17" s="2" t="n"/>
      <c r="N17" s="2" t="n"/>
      <c r="O17" s="2" t="n"/>
    </row>
    <row r="18">
      <c r="A18" s="12" t="inlineStr">
        <is>
          <t>Cupom 6</t>
        </is>
      </c>
      <c r="B18" s="13" t="n">
        <v>670</v>
      </c>
      <c r="C18" s="14">
        <f>B$7/100*1000</f>
        <v/>
      </c>
      <c r="D18" s="14">
        <f>C18/(1+B$4/100)^(B18/252)</f>
        <v/>
      </c>
      <c r="E18" s="15">
        <f>D18/SUM(D$13:D$22)*100</f>
        <v/>
      </c>
      <c r="F18" s="16">
        <f>(B18/252)*(E18/100)</f>
        <v/>
      </c>
      <c r="G18" s="16">
        <f>F18/(1+B$4/100)</f>
        <v/>
      </c>
      <c r="H18" s="16">
        <f>G18*D18*0.0001</f>
        <v/>
      </c>
      <c r="I18" s="17">
        <f>H18*B$5</f>
        <v/>
      </c>
      <c r="J18" s="2" t="n"/>
      <c r="K18" s="2" t="n"/>
      <c r="L18" s="2" t="n"/>
      <c r="M18" s="2" t="n"/>
      <c r="N18" s="2" t="n"/>
      <c r="O18" s="2" t="n"/>
    </row>
    <row r="19">
      <c r="A19" s="12" t="inlineStr">
        <is>
          <t>Cupom 7</t>
        </is>
      </c>
      <c r="B19" s="13" t="n">
        <v>795</v>
      </c>
      <c r="C19" s="14">
        <f>B$7/100*1000</f>
        <v/>
      </c>
      <c r="D19" s="14">
        <f>C19/(1+B$4/100)^(B19/252)</f>
        <v/>
      </c>
      <c r="E19" s="15">
        <f>D19/SUM(D$13:D$22)*100</f>
        <v/>
      </c>
      <c r="F19" s="16">
        <f>(B19/252)*(E19/100)</f>
        <v/>
      </c>
      <c r="G19" s="16">
        <f>F19/(1+B$4/100)</f>
        <v/>
      </c>
      <c r="H19" s="16">
        <f>G19*D19*0.0001</f>
        <v/>
      </c>
      <c r="I19" s="17">
        <f>H19*B$5</f>
        <v/>
      </c>
      <c r="J19" s="2" t="n"/>
      <c r="K19" s="2" t="n"/>
      <c r="L19" s="2" t="n"/>
      <c r="M19" s="2" t="n"/>
      <c r="N19" s="2" t="n"/>
      <c r="O19" s="2" t="n"/>
    </row>
    <row r="20">
      <c r="A20" s="12" t="inlineStr">
        <is>
          <t>Cupom 8</t>
        </is>
      </c>
      <c r="B20" s="13" t="n">
        <v>922</v>
      </c>
      <c r="C20" s="14">
        <f>B$7/100*1000</f>
        <v/>
      </c>
      <c r="D20" s="14">
        <f>C20/(1+B$4/100)^(B20/252)</f>
        <v/>
      </c>
      <c r="E20" s="15">
        <f>D20/SUM(D$13:D$22)*100</f>
        <v/>
      </c>
      <c r="F20" s="16">
        <f>(B20/252)*(E20/100)</f>
        <v/>
      </c>
      <c r="G20" s="16">
        <f>F20/(1+B$4/100)</f>
        <v/>
      </c>
      <c r="H20" s="16">
        <f>G20*D20*0.0001</f>
        <v/>
      </c>
      <c r="I20" s="17">
        <f>H20*B$5</f>
        <v/>
      </c>
      <c r="J20" s="2" t="n"/>
      <c r="K20" s="2" t="n"/>
      <c r="L20" s="2" t="n"/>
      <c r="M20" s="2" t="n"/>
      <c r="N20" s="2" t="n"/>
      <c r="O20" s="2" t="n"/>
    </row>
    <row r="21">
      <c r="A21" s="12" t="inlineStr">
        <is>
          <t>Cupom 9</t>
        </is>
      </c>
      <c r="B21" s="13" t="n">
        <v>1047</v>
      </c>
      <c r="C21" s="14">
        <f>B$7/100*1000</f>
        <v/>
      </c>
      <c r="D21" s="14">
        <f>C21/(1+B$4/100)^(B21/252)</f>
        <v/>
      </c>
      <c r="E21" s="15">
        <f>D21/SUM(D$13:D$22)*100</f>
        <v/>
      </c>
      <c r="F21" s="16">
        <f>(B21/252)*(E21/100)</f>
        <v/>
      </c>
      <c r="G21" s="16">
        <f>F21/(1+B$4/100)</f>
        <v/>
      </c>
      <c r="H21" s="16">
        <f>G21*D21*0.0001</f>
        <v/>
      </c>
      <c r="I21" s="17">
        <f>H21*B$5</f>
        <v/>
      </c>
      <c r="J21" s="2" t="n"/>
      <c r="K21" s="2" t="n"/>
      <c r="L21" s="2" t="n"/>
      <c r="M21" s="2" t="n"/>
      <c r="N21" s="2" t="n"/>
      <c r="O21" s="2" t="n"/>
    </row>
    <row r="22">
      <c r="A22" s="12" t="inlineStr">
        <is>
          <t>Principal+Cupom</t>
        </is>
      </c>
      <c r="B22" s="13" t="n">
        <v>1174</v>
      </c>
      <c r="C22" s="14">
        <f>(1+B$7/100)*1000</f>
        <v/>
      </c>
      <c r="D22" s="14">
        <f>C22/(1+B$4/100)^(B22/252)</f>
        <v/>
      </c>
      <c r="E22" s="15">
        <f>D22/SUM(D$13:D$22)*100</f>
        <v/>
      </c>
      <c r="F22" s="16">
        <f>(B22/252)*(E22/100)</f>
        <v/>
      </c>
      <c r="G22" s="16">
        <f>F22/(1+B$4/100)</f>
        <v/>
      </c>
      <c r="H22" s="16">
        <f>G22*D22*0.0001</f>
        <v/>
      </c>
      <c r="I22" s="17">
        <f>H22*B$5</f>
        <v/>
      </c>
      <c r="J22" s="2" t="n"/>
      <c r="K22" s="2" t="n"/>
      <c r="L22" s="2" t="n"/>
      <c r="M22" s="2" t="n"/>
      <c r="N22" s="2" t="n"/>
      <c r="O22" s="2" t="n"/>
    </row>
    <row r="23">
      <c r="A23" s="18" t="inlineStr">
        <is>
          <t>TOTAL</t>
        </is>
      </c>
      <c r="B23" s="2" t="n"/>
      <c r="C23" s="2" t="n"/>
      <c r="D23" s="8">
        <f>SUM(D13:D22)</f>
        <v/>
      </c>
      <c r="E23" s="19">
        <f>SUM(E13:E22)</f>
        <v/>
      </c>
      <c r="F23" s="10">
        <f>SUM(F13:F22)</f>
        <v/>
      </c>
      <c r="G23" s="2" t="n"/>
      <c r="H23" s="2" t="n"/>
      <c r="I23" s="9">
        <f>SUM(I13:I22)</f>
        <v/>
      </c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A623"/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Hedge NTN-F com DI1 — 3 Modalidades</t>
        </is>
      </c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DI1 Taxa (% a.a.)</t>
        </is>
      </c>
      <c r="B3" s="20" t="n">
        <v>13.65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DV01 Total NTN-F</t>
        </is>
      </c>
      <c r="B4" s="9">
        <f>'Inputs &amp; Fluxos'!B9</f>
        <v/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D.Mac NTN-F (anos)</t>
        </is>
      </c>
      <c r="B5" s="21">
        <f>'Inputs &amp; Fluxos'!B10</f>
        <v/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DU Vencimento</t>
        </is>
      </c>
      <c r="B6" s="19">
        <f>'Inputs &amp; Fluxos'!B22</f>
        <v/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DU Duration</t>
        </is>
      </c>
      <c r="B7" s="19">
        <f>ROUND(B5*252,0)</f>
        <v/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11" t="inlineStr">
        <is>
          <t>Modalidade</t>
        </is>
      </c>
      <c r="B9" s="11" t="inlineStr">
        <is>
          <t>Vértice DI1 (DU)</t>
        </is>
      </c>
      <c r="C9" s="11" t="inlineStr">
        <is>
          <t>DV01/contrato</t>
        </is>
      </c>
      <c r="D9" s="11" t="inlineStr">
        <is>
          <t>Contratos</t>
        </is>
      </c>
      <c r="E9" s="11" t="inlineStr">
        <is>
          <t>Residual após adotar</t>
        </is>
      </c>
      <c r="F9" s="11" t="inlineStr">
        <is>
          <t>Obs</t>
        </is>
      </c>
      <c r="G9" s="2" t="n"/>
      <c r="H9" s="2" t="n"/>
      <c r="I9" s="2" t="n"/>
      <c r="J9" s="2" t="n"/>
    </row>
    <row r="10">
      <c r="A10" s="22" t="inlineStr">
        <is>
          <t>1. No Vencimento</t>
        </is>
      </c>
      <c r="B10" s="23">
        <f>B6</f>
        <v/>
      </c>
      <c r="C10" s="14">
        <f>(B10/252)/(1+B3/100)*(100000/(1+B3/100)^(B10/252))*0.0001</f>
        <v/>
      </c>
      <c r="D10" s="24">
        <f>ROUND(B4/C10,0)</f>
        <v/>
      </c>
      <c r="E10" s="25">
        <f>B4-D10*C10</f>
        <v/>
      </c>
      <c r="F10" s="26" t="inlineStr">
        <is>
          <t>Aproximação — descasa duration</t>
        </is>
      </c>
      <c r="G10" s="2" t="n"/>
      <c r="H10" s="2" t="n"/>
      <c r="I10" s="2" t="n"/>
      <c r="J10" s="2" t="n"/>
    </row>
    <row r="11">
      <c r="A11" s="22" t="inlineStr">
        <is>
          <t>2. Na Duration</t>
        </is>
      </c>
      <c r="B11" s="23">
        <f>B7</f>
        <v/>
      </c>
      <c r="C11" s="14">
        <f>(B11/252)/(1+B3/100)*(100000/(1+B3/100)^(B11/252))*0.0001</f>
        <v/>
      </c>
      <c r="D11" s="24">
        <f>ROUND(B4/C11,0)</f>
        <v/>
      </c>
      <c r="E11" s="25">
        <f>B4-D11*C11</f>
        <v/>
      </c>
      <c r="F11" s="26" t="inlineStr">
        <is>
          <t>DV01 match no prazo médio — shifts paralelos OK</t>
        </is>
      </c>
      <c r="G11" s="2" t="n"/>
      <c r="H11" s="2" t="n"/>
      <c r="I11" s="2" t="n"/>
      <c r="J11" s="2" t="n"/>
    </row>
    <row r="12">
      <c r="A12" s="22" t="inlineStr">
        <is>
          <t>3. Strip (Perfeito)</t>
        </is>
      </c>
      <c r="B12" s="23" t="inlineStr">
        <is>
          <t>por fluxo</t>
        </is>
      </c>
      <c r="C12" s="27" t="n"/>
      <c r="D12" s="24">
        <f>SUM(G16:G25)</f>
        <v/>
      </c>
      <c r="E12" s="25">
        <f>B4-SUMPRODUCT(F16:F25,G16:G25)</f>
        <v/>
      </c>
      <c r="F12" s="26" t="inlineStr">
        <is>
          <t>1 DI1 por fluxo — elimina slope/curvatura/convexidade</t>
        </is>
      </c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Detalhamento Strip — DI1 por fluxo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11" t="inlineStr">
        <is>
          <t>Fluxo</t>
        </is>
      </c>
      <c r="B15" s="11" t="inlineStr">
        <is>
          <t>DU</t>
        </is>
      </c>
      <c r="C15" s="11" t="inlineStr">
        <is>
          <t>DV01 Fluxo (R$)</t>
        </is>
      </c>
      <c r="D15" s="11" t="inlineStr">
        <is>
          <t>PU DI1 (R$)</t>
        </is>
      </c>
      <c r="E15" s="11" t="inlineStr">
        <is>
          <t>DV01 DI1/un</t>
        </is>
      </c>
      <c r="F15" s="11" t="inlineStr">
        <is>
          <t>DV01/contrato DI1</t>
        </is>
      </c>
      <c r="G15" s="11" t="inlineStr">
        <is>
          <t>Contratos DI1</t>
        </is>
      </c>
      <c r="H15" s="2" t="n"/>
      <c r="I15" s="2" t="n"/>
      <c r="J15" s="2" t="n"/>
    </row>
    <row r="16">
      <c r="A16" s="12">
        <f>'Inputs &amp; Fluxos'!A13</f>
        <v/>
      </c>
      <c r="B16" s="28">
        <f>'Inputs &amp; Fluxos'!B13</f>
        <v/>
      </c>
      <c r="C16" s="17">
        <f>'Inputs &amp; Fluxos'!I13</f>
        <v/>
      </c>
      <c r="D16" s="14">
        <f>100000/(1+B$3/100)^(B16/252)</f>
        <v/>
      </c>
      <c r="E16" s="16">
        <f>(B16/252)/(1+B$3/100)*D16*0.0001</f>
        <v/>
      </c>
      <c r="F16" s="15">
        <f>E16</f>
        <v/>
      </c>
      <c r="G16" s="24">
        <f>ROUND(C16/F16,0)</f>
        <v/>
      </c>
      <c r="H16" s="2" t="n"/>
      <c r="I16" s="2" t="n"/>
      <c r="J16" s="2" t="n"/>
    </row>
    <row r="17">
      <c r="A17" s="12">
        <f>'Inputs &amp; Fluxos'!A14</f>
        <v/>
      </c>
      <c r="B17" s="28">
        <f>'Inputs &amp; Fluxos'!B14</f>
        <v/>
      </c>
      <c r="C17" s="17">
        <f>'Inputs &amp; Fluxos'!I14</f>
        <v/>
      </c>
      <c r="D17" s="14">
        <f>100000/(1+B$3/100)^(B17/252)</f>
        <v/>
      </c>
      <c r="E17" s="16">
        <f>(B17/252)/(1+B$3/100)*D17*0.0001</f>
        <v/>
      </c>
      <c r="F17" s="15">
        <f>E17</f>
        <v/>
      </c>
      <c r="G17" s="24">
        <f>ROUND(C17/F17,0)</f>
        <v/>
      </c>
      <c r="H17" s="2" t="n"/>
      <c r="I17" s="2" t="n"/>
      <c r="J17" s="2" t="n"/>
    </row>
    <row r="18">
      <c r="A18" s="12">
        <f>'Inputs &amp; Fluxos'!A15</f>
        <v/>
      </c>
      <c r="B18" s="28">
        <f>'Inputs &amp; Fluxos'!B15</f>
        <v/>
      </c>
      <c r="C18" s="17">
        <f>'Inputs &amp; Fluxos'!I15</f>
        <v/>
      </c>
      <c r="D18" s="14">
        <f>100000/(1+B$3/100)^(B18/252)</f>
        <v/>
      </c>
      <c r="E18" s="16">
        <f>(B18/252)/(1+B$3/100)*D18*0.0001</f>
        <v/>
      </c>
      <c r="F18" s="15">
        <f>E18</f>
        <v/>
      </c>
      <c r="G18" s="24">
        <f>ROUND(C18/F18,0)</f>
        <v/>
      </c>
      <c r="H18" s="2" t="n"/>
      <c r="I18" s="2" t="n"/>
      <c r="J18" s="2" t="n"/>
    </row>
    <row r="19">
      <c r="A19" s="12">
        <f>'Inputs &amp; Fluxos'!A16</f>
        <v/>
      </c>
      <c r="B19" s="28">
        <f>'Inputs &amp; Fluxos'!B16</f>
        <v/>
      </c>
      <c r="C19" s="17">
        <f>'Inputs &amp; Fluxos'!I16</f>
        <v/>
      </c>
      <c r="D19" s="14">
        <f>100000/(1+B$3/100)^(B19/252)</f>
        <v/>
      </c>
      <c r="E19" s="16">
        <f>(B19/252)/(1+B$3/100)*D19*0.0001</f>
        <v/>
      </c>
      <c r="F19" s="15">
        <f>E19</f>
        <v/>
      </c>
      <c r="G19" s="24">
        <f>ROUND(C19/F19,0)</f>
        <v/>
      </c>
      <c r="H19" s="2" t="n"/>
      <c r="I19" s="2" t="n"/>
      <c r="J19" s="2" t="n"/>
    </row>
    <row r="20">
      <c r="A20" s="12">
        <f>'Inputs &amp; Fluxos'!A17</f>
        <v/>
      </c>
      <c r="B20" s="28">
        <f>'Inputs &amp; Fluxos'!B17</f>
        <v/>
      </c>
      <c r="C20" s="17">
        <f>'Inputs &amp; Fluxos'!I17</f>
        <v/>
      </c>
      <c r="D20" s="14">
        <f>100000/(1+B$3/100)^(B20/252)</f>
        <v/>
      </c>
      <c r="E20" s="16">
        <f>(B20/252)/(1+B$3/100)*D20*0.0001</f>
        <v/>
      </c>
      <c r="F20" s="15">
        <f>E20</f>
        <v/>
      </c>
      <c r="G20" s="24">
        <f>ROUND(C20/F20,0)</f>
        <v/>
      </c>
      <c r="H20" s="2" t="n"/>
      <c r="I20" s="2" t="n"/>
      <c r="J20" s="2" t="n"/>
    </row>
    <row r="21">
      <c r="A21" s="12">
        <f>'Inputs &amp; Fluxos'!A18</f>
        <v/>
      </c>
      <c r="B21" s="28">
        <f>'Inputs &amp; Fluxos'!B18</f>
        <v/>
      </c>
      <c r="C21" s="17">
        <f>'Inputs &amp; Fluxos'!I18</f>
        <v/>
      </c>
      <c r="D21" s="14">
        <f>100000/(1+B$3/100)^(B21/252)</f>
        <v/>
      </c>
      <c r="E21" s="16">
        <f>(B21/252)/(1+B$3/100)*D21*0.0001</f>
        <v/>
      </c>
      <c r="F21" s="15">
        <f>E21</f>
        <v/>
      </c>
      <c r="G21" s="24">
        <f>ROUND(C21/F21,0)</f>
        <v/>
      </c>
      <c r="H21" s="2" t="n"/>
      <c r="I21" s="2" t="n"/>
      <c r="J21" s="2" t="n"/>
    </row>
    <row r="22">
      <c r="A22" s="12">
        <f>'Inputs &amp; Fluxos'!A19</f>
        <v/>
      </c>
      <c r="B22" s="28">
        <f>'Inputs &amp; Fluxos'!B19</f>
        <v/>
      </c>
      <c r="C22" s="17">
        <f>'Inputs &amp; Fluxos'!I19</f>
        <v/>
      </c>
      <c r="D22" s="14">
        <f>100000/(1+B$3/100)^(B22/252)</f>
        <v/>
      </c>
      <c r="E22" s="16">
        <f>(B22/252)/(1+B$3/100)*D22*0.0001</f>
        <v/>
      </c>
      <c r="F22" s="15">
        <f>E22</f>
        <v/>
      </c>
      <c r="G22" s="24">
        <f>ROUND(C22/F22,0)</f>
        <v/>
      </c>
      <c r="H22" s="2" t="n"/>
      <c r="I22" s="2" t="n"/>
      <c r="J22" s="2" t="n"/>
    </row>
    <row r="23">
      <c r="A23" s="12">
        <f>'Inputs &amp; Fluxos'!A20</f>
        <v/>
      </c>
      <c r="B23" s="28">
        <f>'Inputs &amp; Fluxos'!B20</f>
        <v/>
      </c>
      <c r="C23" s="17">
        <f>'Inputs &amp; Fluxos'!I20</f>
        <v/>
      </c>
      <c r="D23" s="14">
        <f>100000/(1+B$3/100)^(B23/252)</f>
        <v/>
      </c>
      <c r="E23" s="16">
        <f>(B23/252)/(1+B$3/100)*D23*0.0001</f>
        <v/>
      </c>
      <c r="F23" s="15">
        <f>E23</f>
        <v/>
      </c>
      <c r="G23" s="24">
        <f>ROUND(C23/F23,0)</f>
        <v/>
      </c>
      <c r="H23" s="2" t="n"/>
      <c r="I23" s="2" t="n"/>
      <c r="J23" s="2" t="n"/>
    </row>
    <row r="24">
      <c r="A24" s="12">
        <f>'Inputs &amp; Fluxos'!A21</f>
        <v/>
      </c>
      <c r="B24" s="28">
        <f>'Inputs &amp; Fluxos'!B21</f>
        <v/>
      </c>
      <c r="C24" s="17">
        <f>'Inputs &amp; Fluxos'!I21</f>
        <v/>
      </c>
      <c r="D24" s="14">
        <f>100000/(1+B$3/100)^(B24/252)</f>
        <v/>
      </c>
      <c r="E24" s="16">
        <f>(B24/252)/(1+B$3/100)*D24*0.0001</f>
        <v/>
      </c>
      <c r="F24" s="15">
        <f>E24</f>
        <v/>
      </c>
      <c r="G24" s="24">
        <f>ROUND(C24/F24,0)</f>
        <v/>
      </c>
      <c r="H24" s="2" t="n"/>
      <c r="I24" s="2" t="n"/>
      <c r="J24" s="2" t="n"/>
    </row>
    <row r="25">
      <c r="A25" s="12">
        <f>'Inputs &amp; Fluxos'!A22</f>
        <v/>
      </c>
      <c r="B25" s="28">
        <f>'Inputs &amp; Fluxos'!B22</f>
        <v/>
      </c>
      <c r="C25" s="17">
        <f>'Inputs &amp; Fluxos'!I22</f>
        <v/>
      </c>
      <c r="D25" s="14">
        <f>100000/(1+B$3/100)^(B25/252)</f>
        <v/>
      </c>
      <c r="E25" s="16">
        <f>(B25/252)/(1+B$3/100)*D25*0.0001</f>
        <v/>
      </c>
      <c r="F25" s="15">
        <f>E25</f>
        <v/>
      </c>
      <c r="G25" s="24">
        <f>ROUND(C25/F25,0)</f>
        <v/>
      </c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D399"/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Cenários de Curva — P&amp;L NTN-F vs DI1 no Vencimento</t>
        </is>
      </c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Fórmulas de choque (21 DU = curto, 2520 DU = longo):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Parallel: Δ = magnitude (uniforme em todos os DUs)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Steepener: Δ = mag × (DU-21)/(2520-21)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4" t="inlineStr">
        <is>
          <t>Flattener: Δ = mag × (1 - (DU-21)/(2520-21))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11" t="inlineStr">
        <is>
          <t>Cenário</t>
        </is>
      </c>
      <c r="B8" s="11" t="inlineStr">
        <is>
          <t>Mag (bps)</t>
        </is>
      </c>
      <c r="C8" s="11" t="inlineStr">
        <is>
          <t>P&amp;L NTN-F (R$)</t>
        </is>
      </c>
      <c r="D8" s="11" t="inlineStr">
        <is>
          <t>P&amp;L DI1 Vcto (R$)</t>
        </is>
      </c>
      <c r="E8" s="11" t="inlineStr">
        <is>
          <t>P&amp;L Total (R$)</t>
        </is>
      </c>
      <c r="F8" s="11" t="inlineStr">
        <is>
          <t>P&amp;L se Strip (≈0)</t>
        </is>
      </c>
      <c r="G8" s="11" t="inlineStr">
        <is>
          <t>Custo Mismatch (R$)</t>
        </is>
      </c>
      <c r="H8" s="11" t="inlineStr">
        <is>
          <t>Risco</t>
        </is>
      </c>
      <c r="I8" s="2" t="n"/>
      <c r="J8" s="2" t="n"/>
    </row>
    <row r="9">
      <c r="A9" s="22" t="inlineStr">
        <is>
          <t>Bear Parallel +10</t>
        </is>
      </c>
      <c r="B9" s="28" t="n">
        <v>10</v>
      </c>
      <c r="C9" s="29">
        <f>-SUMPRODUCT('Inputs &amp; Fluxos'!I13:'Inputs &amp; Fluxos'!I22)*B9</f>
        <v/>
      </c>
      <c r="D9" s="29">
        <f>'Hedge'!D10*'Hedge'!C10*B9</f>
        <v/>
      </c>
      <c r="E9" s="30">
        <f>C9+D9</f>
        <v/>
      </c>
      <c r="F9" s="31" t="n">
        <v>0</v>
      </c>
      <c r="G9" s="32">
        <f>E9-F9</f>
        <v/>
      </c>
      <c r="H9" s="31" t="inlineStr">
        <is>
          <t>OK (DV01 match)</t>
        </is>
      </c>
      <c r="I9" s="2" t="n"/>
      <c r="J9" s="2" t="n"/>
    </row>
    <row r="10">
      <c r="A10" s="22" t="inlineStr">
        <is>
          <t>Bear Parallel +50</t>
        </is>
      </c>
      <c r="B10" s="28" t="n">
        <v>50</v>
      </c>
      <c r="C10" s="29">
        <f>-SUMPRODUCT('Inputs &amp; Fluxos'!I13:'Inputs &amp; Fluxos'!I22)*B10</f>
        <v/>
      </c>
      <c r="D10" s="29">
        <f>'Hedge'!D10*'Hedge'!C10*B10</f>
        <v/>
      </c>
      <c r="E10" s="30">
        <f>C10+D10</f>
        <v/>
      </c>
      <c r="F10" s="31" t="n">
        <v>0</v>
      </c>
      <c r="G10" s="32">
        <f>E10-F10</f>
        <v/>
      </c>
      <c r="H10" s="31" t="inlineStr">
        <is>
          <t>OK (DV01 match)</t>
        </is>
      </c>
      <c r="I10" s="2" t="n"/>
      <c r="J10" s="2" t="n"/>
    </row>
    <row r="11">
      <c r="A11" s="22" t="inlineStr">
        <is>
          <t>Bull Parallel -50</t>
        </is>
      </c>
      <c r="B11" s="28" t="n">
        <v>-50</v>
      </c>
      <c r="C11" s="29">
        <f>-SUMPRODUCT('Inputs &amp; Fluxos'!I13:'Inputs &amp; Fluxos'!I22)*B11</f>
        <v/>
      </c>
      <c r="D11" s="29">
        <f>'Hedge'!D10*'Hedge'!C10*B11</f>
        <v/>
      </c>
      <c r="E11" s="30">
        <f>C11+D11</f>
        <v/>
      </c>
      <c r="F11" s="31" t="n">
        <v>0</v>
      </c>
      <c r="G11" s="32">
        <f>E11-F11</f>
        <v/>
      </c>
      <c r="H11" s="31" t="inlineStr">
        <is>
          <t>OK (DV01 match)</t>
        </is>
      </c>
      <c r="I11" s="2" t="n"/>
      <c r="J11" s="2" t="n"/>
    </row>
    <row r="12">
      <c r="A12" s="22" t="inlineStr">
        <is>
          <t>Bear Steepener +30</t>
        </is>
      </c>
      <c r="B12" s="28" t="n">
        <v>30</v>
      </c>
      <c r="C12" s="29">
        <f>-SUMPRODUCT('Inputs &amp; Fluxos'!I13:'Inputs &amp; Fluxos'!I22,('Inputs &amp; Fluxos'!B13:'Inputs &amp; Fluxos'!B22-21)/(2520-21))*B12</f>
        <v/>
      </c>
      <c r="D12" s="29">
        <f>'Hedge'!D10*'Hedge'!C10*B12*('Hedge'!B10-21)/(2520-21)</f>
        <v/>
      </c>
      <c r="E12" s="30">
        <f>C12+D12</f>
        <v/>
      </c>
      <c r="F12" s="31" t="n">
        <v>0</v>
      </c>
      <c r="G12" s="32">
        <f>E12-F12</f>
        <v/>
      </c>
      <c r="H12" s="33" t="inlineStr">
        <is>
          <t>RISCO SLOPE</t>
        </is>
      </c>
      <c r="I12" s="2" t="n"/>
      <c r="J12" s="2" t="n"/>
    </row>
    <row r="13">
      <c r="A13" s="22" t="inlineStr">
        <is>
          <t>Bear Flattener +30</t>
        </is>
      </c>
      <c r="B13" s="28" t="n">
        <v>30</v>
      </c>
      <c r="C13" s="29">
        <f>-SUMPRODUCT('Inputs &amp; Fluxos'!I13:'Inputs &amp; Fluxos'!I22,(1-('Inputs &amp; Fluxos'!B13:'Inputs &amp; Fluxos'!B22-21)/(2520-21)))*B13</f>
        <v/>
      </c>
      <c r="D13" s="29">
        <f>'Hedge'!D10*'Hedge'!C10*B13*(1-('Hedge'!B10-21)/(2520-21))</f>
        <v/>
      </c>
      <c r="E13" s="30">
        <f>C13+D13</f>
        <v/>
      </c>
      <c r="F13" s="31" t="n">
        <v>0</v>
      </c>
      <c r="G13" s="32">
        <f>E13-F13</f>
        <v/>
      </c>
      <c r="H13" s="33" t="inlineStr">
        <is>
          <t>RISCO SLOPE</t>
        </is>
      </c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2026-05-06T13:14:05Z</dcterms:created>
  <dcterms:modified xsi:type="dcterms:W3CDTF">2026-05-06T13:14:05Z</dcterms:modified>
</cp:coreProperties>
</file>